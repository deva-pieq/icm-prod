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<sst xmlns="http://schemas.openxmlformats.org/spreadsheetml/2006/main" count="42" uniqueCount="32">
  <si>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</si>
  <si>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</si>
  <si>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</si>
  <si>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</si>
  <si>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</si>
  <si>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</si>
  <si>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</si>
  <si>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</si>
  <si>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</si>
  <si>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</si>
  <si>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</si>
  <si>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</si>
  <si>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</si>
  <si>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</si>
  <si>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</si>
  <si>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</si>
  <si>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</si>
  <si>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</si>
  <si>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</si>
  <si>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</si>
  <si>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</si>
  <si>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DevaTest</t>
  </si>
  <si>
    <t>0987654321</t>
  </si>
  <si>
    <t>232 E KING ST2 , ,, MALVERN, PA, 19355</t>
  </si>
  <si>
    <t>Integrity Health, LLC</t>
  </si>
  <si>
    <t>IANG12370001IL001</t>
  </si>
  <si>
    <t>ROBERTS, PIPPIN</t>
  </si>
  <si>
    <t>IL</t>
  </si>
  <si>
    <t>2025-jan-1-aetna-test-001</t>
  </si>
  <si>
    <t>Y</t>
  </si>
  <si>
    <t>Aetna</t>
  </si>
  <si>
    <t>IANG12370001IL002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</si>
</sst>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-dd-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38"/>
    <col customWidth="1" min="3" max="3" width="14.13"/>
    <col customWidth="1" min="4" max="4" width="30.63"/>
    <col customWidth="1" min="5" max="5" width="18.13"/>
    <col customWidth="1" min="6" max="6" width="17.13"/>
    <col customWidth="1" min="7" max="7" width="16.25"/>
    <col customWidth="1" min="8" max="8" width="13.63"/>
    <col customWidth="1" min="9" max="9" width="18.75"/>
    <col customWidth="1" min="10" max="10" width="18.88"/>
    <col customWidth="1" min="11" max="11" width="14.25"/>
    <col customWidth="1" min="12" max="12" width="12.75"/>
    <col customWidth="1" min="13" max="13" width="16.13"/>
    <col customWidth="1" min="14" max="14" width="12.63"/>
    <col customWidth="1" min="15" max="15" width="14.63"/>
    <col customWidth="1" min="16" max="16" width="27.38"/>
    <col customWidth="1" min="17" max="17" width="12.13"/>
    <col customWidth="1" min="18" max="18" width="10.63"/>
    <col customWidth="1" min="19" max="19" width="10.75"/>
    <col customWidth="1" min="20" max="20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2" t="s">
        <v>22</v>
      </c>
      <c r="D2" s="1" t="s">
        <v>23</v>
      </c>
      <c r="E2" s="3">
        <v>1.0</v>
      </c>
      <c r="F2" s="1" t="s">
        <v>24</v>
      </c>
      <c r="G2" s="1" t="s">
        <v>25</v>
      </c>
      <c r="H2" s="1" t="s">
        <v>26</v>
      </c>
      <c r="I2" s="4">
        <v>45659.0</v>
      </c>
      <c r="J2" s="1" t="s">
        <v>27</v>
      </c>
      <c r="K2" s="5">
        <v>46024.0</v>
      </c>
      <c r="L2" s="3">
        <v>1.0</v>
      </c>
      <c r="M2" s="3">
        <f t="shared" ref="M2:M3" si="1">T2*0.1</f>
        <v>54.9</v>
      </c>
      <c r="N2" s="3">
        <v>0.0</v>
      </c>
      <c r="O2" s="3">
        <f t="shared" ref="O2:O3" si="2">M2*(1-0.12)</f>
        <v>48.312</v>
      </c>
      <c r="P2" s="1" t="s">
        <v>28</v>
      </c>
      <c r="Q2" s="6">
        <v>45665.0</v>
      </c>
      <c r="R2" s="1" t="s">
        <v>29</v>
      </c>
      <c r="S2" s="1" t="s">
        <v>30</v>
      </c>
      <c r="T2" s="3">
        <v>549.0</v>
      </c>
    </row>
    <row r="3">
      <c r="A3" s="1" t="s">
        <v>20</v>
      </c>
      <c r="B3" s="1" t="s">
        <v>21</v>
      </c>
      <c r="C3" s="2" t="s">
        <v>22</v>
      </c>
      <c r="D3" s="1" t="s">
        <v>23</v>
      </c>
      <c r="E3" s="3">
        <v>1.0</v>
      </c>
      <c r="F3" s="1" t="s">
        <v>24</v>
      </c>
      <c r="G3" s="1" t="s">
        <v>31</v>
      </c>
      <c r="H3" s="1" t="s">
        <v>26</v>
      </c>
      <c r="I3" s="4">
        <v>45659.0</v>
      </c>
      <c r="J3" s="1" t="s">
        <v>27</v>
      </c>
      <c r="K3" s="5">
        <v>46024.0</v>
      </c>
      <c r="L3" s="3">
        <v>1.0</v>
      </c>
      <c r="M3" s="3">
        <f t="shared" si="1"/>
        <v>54.9</v>
      </c>
      <c r="N3" s="3">
        <v>0.0</v>
      </c>
      <c r="O3" s="3">
        <f t="shared" si="2"/>
        <v>48.312</v>
      </c>
      <c r="P3" s="1" t="s">
        <v>28</v>
      </c>
      <c r="Q3" s="6">
        <f>Q2</f>
        <v>45665</v>
      </c>
      <c r="R3" s="1" t="s">
        <v>29</v>
      </c>
      <c r="S3" s="1" t="s">
        <v>30</v>
      </c>
      <c r="T3" s="3">
        <v>549.0</v>
      </c>
    </row>
  </sheetData>
  <drawing r:id="rId1"/>
</worksheet>
</file>