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<sst xmlns="http://schemas.openxmlformats.org/spreadsheetml/2006/main" count="42" uniqueCount="32">
  <si>
    <t>Selling agent last name</t>
  </si>
  <si>
    <t>Selling agent first name</t>
  </si>
  <si>
    <t>Selling agent NPN</t>
  </si>
  <si>
    <t>Producer comp address</t>
  </si>
  <si>
    <t>Producer location code</t>
  </si>
  <si>
    <t>General agency name</t>
  </si>
  <si>
    <t>Customer UID</t>
  </si>
  <si>
    <t>Customer name</t>
  </si>
  <si>
    <t>Customer effective date</t>
  </si>
  <si>
    <t>Customer contract state</t>
  </si>
  <si>
    <t>Subscriber month</t>
  </si>
  <si>
    <t>Total subscriber</t>
  </si>
  <si>
    <t>Gross compensation</t>
  </si>
  <si>
    <t>Tax withholding</t>
  </si>
  <si>
    <t>Net compensation</t>
  </si>
  <si>
    <t>Scale name/adjustment description</t>
  </si>
  <si>
    <t>Check run date</t>
  </si>
  <si>
    <t>On exchange</t>
  </si>
  <si>
    <t>Carrier name</t>
  </si>
  <si>
    <t>Premium</t>
  </si>
  <si>
    <t>Agent</t>
  </si>
  <si>
    <t>DevaTest</t>
  </si>
  <si>
    <t>0987654321</t>
  </si>
  <si>
    <t>232 E KING ST2 , ,, MALVERN, PA, 19355</t>
  </si>
  <si>
    <t>Integrity Health, LLC</t>
  </si>
  <si>
    <t>IANG12370001IL001</t>
  </si>
  <si>
    <t>ROBERTS, PIPPIN</t>
  </si>
  <si>
    <t>IL</t>
  </si>
  <si>
    <t>test-2025-jan-1-aetna-test-001</t>
  </si>
  <si>
    <t>Y</t>
  </si>
  <si>
    <t>Aetna</t>
  </si>
  <si>
    <t>IANG12370001IL002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</si>
</sst>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-d"/>
    <numFmt numFmtId="165" formatCode="mm-dd-yyyy"/>
  </numFmts>
  <fonts count="3" x14ac:knownFonts="1">
    <font>
      <color theme="1"/>
      <family val="2"/>
      <scheme val="minor"/>
      <sz val="11"/>
      <name val="Calibri"/>
    </font>
    <font>
      <color rgb="FF000000"/>
      <sz val="11"/>
      <name val="Calibri"/>
    </font>
    <font>
      <color theme="1"/>
      <scheme val="minor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bottom" readingOrder="1"/>
    </xf>
    <xf numFmtId="0" fontId="1" fillId="0" borderId="0" xfId="0" applyFont="1" applyAlignment="1">
      <alignment horizontal="right" vertical="bottom" readingOrder="1"/>
    </xf>
    <xf numFmtId="14" fontId="2" fillId="0" borderId="0" xfId="0" applyNumberFormat="1" applyFont="1" applyAlignment="1">
      <alignment readingOrder="1"/>
    </xf>
    <xf numFmtId="164" fontId="1" fillId="0" borderId="0" xfId="0" applyNumberFormat="1" applyFont="1" applyAlignment="1">
      <alignment horizontal="right" vertical="bottom" readingOrder="1"/>
    </xf>
    <xf numFmtId="165" fontId="1" fillId="0" borderId="0" xfId="0" applyNumberFormat="1" applyFont="1" applyAlignment="1">
      <alignment horizontal="right" vertical="bottom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T3"/>
  <sheetViews>
    <sheetView workbookViewId="0" zoomScale="100" zoomScaleNormal="100"/>
  </sheetViews>
  <sheetFormatPr defaultRowHeight="15.75" outlineLevelRow="0" outlineLevelCol="0" x14ac:dyDescent="0" defaultColWidth="12.63" customHeight="1"/>
  <cols>
    <col min="1" max="1" width="18.13" customWidth="1"/>
    <col min="2" max="2" width="18.38" customWidth="1"/>
    <col min="3" max="3" width="14.13" customWidth="1"/>
    <col min="4" max="4" width="30.63" customWidth="1"/>
    <col min="5" max="5" width="18.13" customWidth="1"/>
    <col min="6" max="6" width="17.13" customWidth="1"/>
    <col min="7" max="7" width="16.25" customWidth="1"/>
    <col min="8" max="8" width="13.63" customWidth="1"/>
    <col min="9" max="9" width="18.75" customWidth="1"/>
    <col min="10" max="10" width="18.88" customWidth="1"/>
    <col min="11" max="11" width="14.25" customWidth="1"/>
    <col min="12" max="12" width="12.75" customWidth="1"/>
    <col min="13" max="13" width="16.13" customWidth="1"/>
    <col min="14" max="14" width="12.63" customWidth="1"/>
    <col min="15" max="15" width="14.63" customWidth="1"/>
    <col min="16" max="16" width="27.38" customWidth="1"/>
    <col min="17" max="17" width="12.13" customWidth="1"/>
    <col min="18" max="18" width="10.63" customWidth="1"/>
    <col min="19" max="19" width="10.75" customWidth="1"/>
    <col min="20" max="20" width="7.7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s="1" t="s">
        <v>20</v>
      </c>
      <c r="B2" s="1" t="s">
        <v>21</v>
      </c>
      <c r="C2" s="2" t="s">
        <v>22</v>
      </c>
      <c r="D2" s="1" t="s">
        <v>23</v>
      </c>
      <c r="E2" s="2">
        <v>1</v>
      </c>
      <c r="F2" s="1" t="s">
        <v>24</v>
      </c>
      <c r="G2" s="1" t="s">
        <v>25</v>
      </c>
      <c r="H2" s="1" t="s">
        <v>26</v>
      </c>
      <c r="I2" s="3">
        <v>45659</v>
      </c>
      <c r="J2" s="1" t="s">
        <v>27</v>
      </c>
      <c r="K2" s="4">
        <v>46024</v>
      </c>
      <c r="L2" s="2">
        <v>1</v>
      </c>
      <c r="M2" s="2">
        <f t="shared" ref="M2:M3" si="0">T2*0.1</f>
        <v>54.9</v>
      </c>
      <c r="N2" s="2">
        <v>0</v>
      </c>
      <c r="O2" s="2">
        <f t="shared" ref="O2:O3" si="1">M2*(1-0.12)</f>
        <v>48.312</v>
      </c>
      <c r="P2" s="1" t="s">
        <v>28</v>
      </c>
      <c r="Q2" s="5">
        <v>45665</v>
      </c>
      <c r="R2" s="1" t="s">
        <v>29</v>
      </c>
      <c r="S2" s="1" t="s">
        <v>30</v>
      </c>
      <c r="T2" s="2">
        <v>549</v>
      </c>
    </row>
    <row r="3" spans="1:20" x14ac:dyDescent="0.25">
      <c r="A3" s="1" t="s">
        <v>20</v>
      </c>
      <c r="B3" s="1" t="s">
        <v>21</v>
      </c>
      <c r="C3" s="2" t="s">
        <v>22</v>
      </c>
      <c r="D3" s="1" t="s">
        <v>23</v>
      </c>
      <c r="E3" s="2">
        <v>1</v>
      </c>
      <c r="F3" s="1" t="s">
        <v>24</v>
      </c>
      <c r="G3" s="1" t="s">
        <v>31</v>
      </c>
      <c r="H3" s="1" t="s">
        <v>26</v>
      </c>
      <c r="I3" s="3">
        <v>45659</v>
      </c>
      <c r="J3" s="1" t="s">
        <v>27</v>
      </c>
      <c r="K3" s="4">
        <v>46024</v>
      </c>
      <c r="L3" s="2">
        <v>1</v>
      </c>
      <c r="M3" s="2">
        <f t="shared" si="0"/>
        <v>54.9</v>
      </c>
      <c r="N3" s="2">
        <v>0</v>
      </c>
      <c r="O3" s="2">
        <f t="shared" si="1"/>
        <v>48.312</v>
      </c>
      <c r="P3" s="1" t="s">
        <v>28</v>
      </c>
      <c r="Q3" s="5">
        <f>Q2</f>
        <v>45665</v>
      </c>
      <c r="R3" s="1" t="s">
        <v>29</v>
      </c>
      <c r="S3" s="1" t="s">
        <v>30</v>
      </c>
      <c r="T3" s="2">
        <v>549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2026-09-16T10:38:00Z</dcterms:created>
  <dcterms:modified xsi:type="dcterms:W3CDTF">2026-09-16T10:38:00Z</dcterms:modified>
</cp:coreProperties>
</file>